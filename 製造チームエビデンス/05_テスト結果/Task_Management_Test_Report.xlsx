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テスト仕様書・結果詳細"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Meiryo UI"/>
      <b val="1"/>
      <color rgb="00FFFFFF"/>
      <sz val="18"/>
    </font>
    <font>
      <name val="Meiryo UI"/>
      <b val="1"/>
      <sz val="11"/>
    </font>
    <font>
      <name val="Meiryo UI"/>
      <sz val="11"/>
    </font>
    <font>
      <name val="Meiryo UI"/>
      <b val="1"/>
      <color rgb="001F497D"/>
      <sz val="12"/>
    </font>
    <font>
      <name val="Meiryo UI"/>
      <b val="1"/>
      <color rgb="00FFFFFF"/>
      <sz val="10"/>
    </font>
    <font>
      <name val="Meiryo UI"/>
      <b val="1"/>
      <color rgb="00C00000"/>
      <sz val="11"/>
    </font>
    <font>
      <name val="Meiryo UI"/>
      <b val="1"/>
      <color rgb="00FFFFFF"/>
      <sz val="11"/>
    </font>
    <font>
      <name val="Meiryo UI"/>
      <b val="1"/>
      <color rgb="00008000"/>
      <sz val="11"/>
    </font>
    <font>
      <name val="Meiryo UI"/>
      <b val="1"/>
      <color rgb="00FF0000"/>
      <sz val="11"/>
    </font>
  </fonts>
  <fills count="5">
    <fill>
      <patternFill/>
    </fill>
    <fill>
      <patternFill patternType="gray125"/>
    </fill>
    <fill>
      <patternFill patternType="solid">
        <fgColor rgb="001F497D"/>
        <bgColor rgb="001F497D"/>
      </patternFill>
    </fill>
    <fill>
      <patternFill patternType="solid">
        <fgColor rgb="00DCE6F1"/>
        <bgColor rgb="00DCE6F1"/>
      </patternFill>
    </fill>
    <fill>
      <patternFill patternType="solid">
        <fgColor rgb="00FDE9D9"/>
        <bgColor rgb="00FDE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pivotButton="0" quotePrefix="0" xfId="0"/>
    <xf numFmtId="0" fontId="3" fillId="0" borderId="1" pivotButton="0" quotePrefix="0" xfId="0"/>
    <xf numFmtId="0" fontId="0" fillId="0" borderId="1" pivotButton="0" quotePrefix="0" xfId="0"/>
    <xf numFmtId="0" fontId="4" fillId="0" borderId="0" pivotButton="0" quotePrefix="0" xfId="0"/>
    <xf numFmtId="0" fontId="5" fillId="2" borderId="0" applyAlignment="1" pivotButton="0" quotePrefix="0" xfId="0">
      <alignment horizontal="center" vertical="center"/>
    </xf>
    <xf numFmtId="0" fontId="3" fillId="0" borderId="1" applyAlignment="1" pivotButton="0" quotePrefix="0" xfId="0">
      <alignment horizontal="right"/>
    </xf>
    <xf numFmtId="164" fontId="3" fillId="0" borderId="1" applyAlignment="1" pivotButton="0" quotePrefix="0" xfId="0">
      <alignment horizontal="right"/>
    </xf>
    <xf numFmtId="0" fontId="2" fillId="0" borderId="1" applyAlignment="1" pivotButton="0" quotePrefix="0" xfId="0">
      <alignment horizontal="center"/>
    </xf>
    <xf numFmtId="0" fontId="2" fillId="3" borderId="1" applyAlignment="1" pivotButton="0" quotePrefix="0" xfId="0">
      <alignment horizontal="right"/>
    </xf>
    <xf numFmtId="164" fontId="2" fillId="3" borderId="1" applyAlignment="1" pivotButton="0" quotePrefix="0" xfId="0">
      <alignment horizontal="right"/>
    </xf>
    <xf numFmtId="0" fontId="6" fillId="3" borderId="1" applyAlignment="1" pivotButton="0" quotePrefix="0" xfId="0">
      <alignment horizontal="center"/>
    </xf>
    <xf numFmtId="0" fontId="7" fillId="2" borderId="0" applyAlignment="1" pivotButton="0" quotePrefix="0" xfId="0">
      <alignment horizontal="center" vertical="center"/>
    </xf>
    <xf numFmtId="0" fontId="3" fillId="0" borderId="1" applyAlignment="1" pivotButton="0" quotePrefix="0" xfId="0">
      <alignment horizontal="center"/>
    </xf>
    <xf numFmtId="0" fontId="8" fillId="0" borderId="1" applyAlignment="1" pivotButton="0" quotePrefix="0" xfId="0">
      <alignment horizontal="center"/>
    </xf>
    <xf numFmtId="0" fontId="9" fillId="4" borderId="1" applyAlignment="1" pivotButton="0" quotePrefix="0" xfId="0">
      <alignment horizontal="center"/>
    </xf>
    <xf numFmtId="0" fontId="6"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7"/>
  <sheetViews>
    <sheetView showGridLines="1" workbookViewId="0">
      <selection activeCell="A1" sqref="A1"/>
    </sheetView>
  </sheetViews>
  <sheetFormatPr baseColWidth="8" defaultRowHeight="15"/>
  <cols>
    <col width="25" customWidth="1" min="2" max="2"/>
    <col width="15" customWidth="1" min="3" max="3"/>
    <col width="15" customWidth="1" min="4" max="4"/>
    <col width="15" customWidth="1" min="5" max="5"/>
    <col width="15" customWidth="1" min="6" max="6"/>
    <col width="25" customWidth="1" min="7" max="7"/>
  </cols>
  <sheetData>
    <row r="2">
      <c r="B2" s="1" t="inlineStr">
        <is>
          <t>タスク管理アプリ テスト仕様書兼結果報告書</t>
        </is>
      </c>
      <c r="C2" s="2" t="n"/>
      <c r="D2" s="2" t="n"/>
      <c r="E2" s="2" t="n"/>
      <c r="F2" s="2" t="n"/>
      <c r="G2" s="2" t="n"/>
    </row>
    <row r="3">
      <c r="B3" s="2" t="n"/>
      <c r="C3" s="2" t="n"/>
      <c r="D3" s="2" t="n"/>
      <c r="E3" s="2" t="n"/>
      <c r="F3" s="2" t="n"/>
      <c r="G3" s="2" t="n"/>
    </row>
    <row r="5">
      <c r="B5" s="3" t="inlineStr">
        <is>
          <t>ターゲットURL</t>
        </is>
      </c>
      <c r="C5" s="4" t="inlineStr">
        <is>
          <t>https://congenial-space-spork-r7pq9pwrv9qvcxpxj-5000.app.github.dev/</t>
        </is>
      </c>
      <c r="D5" s="5" t="n"/>
      <c r="E5" s="5" t="n"/>
      <c r="F5" s="5" t="n"/>
      <c r="G5" s="5" t="n"/>
    </row>
    <row r="6">
      <c r="B6" s="3" t="inlineStr">
        <is>
          <t>作成日</t>
        </is>
      </c>
      <c r="C6" s="4" t="inlineStr">
        <is>
          <t>2026年10月9日</t>
        </is>
      </c>
      <c r="D6" s="5" t="n"/>
      <c r="E6" s="5" t="n"/>
      <c r="F6" s="5" t="n"/>
      <c r="G6" s="5" t="n"/>
    </row>
    <row r="7">
      <c r="B7" s="3" t="inlineStr">
        <is>
          <t>作成者</t>
        </is>
      </c>
      <c r="C7" s="4" t="inlineStr">
        <is>
          <t>QAチーム</t>
        </is>
      </c>
      <c r="D7" s="5" t="n"/>
      <c r="E7" s="5" t="n"/>
      <c r="F7" s="5" t="n"/>
      <c r="G7" s="5" t="n"/>
    </row>
    <row r="8">
      <c r="B8" s="3" t="inlineStr">
        <is>
          <t>提出先</t>
        </is>
      </c>
      <c r="C8" s="4" t="inlineStr">
        <is>
          <t>お客様各位</t>
        </is>
      </c>
      <c r="D8" s="5" t="n"/>
      <c r="E8" s="5" t="n"/>
      <c r="F8" s="5" t="n"/>
      <c r="G8" s="5" t="n"/>
    </row>
    <row r="11">
      <c r="B11" s="6" t="inlineStr">
        <is>
          <t>■ テスト結果サマリー</t>
        </is>
      </c>
    </row>
    <row r="13">
      <c r="B13" s="7" t="inlineStr">
        <is>
          <t>機能要件項目</t>
        </is>
      </c>
      <c r="C13" s="7" t="inlineStr">
        <is>
          <t>テスト件数</t>
        </is>
      </c>
      <c r="D13" s="7" t="inlineStr">
        <is>
          <t>合格件数</t>
        </is>
      </c>
      <c r="E13" s="7" t="inlineStr">
        <is>
          <t>障害件数</t>
        </is>
      </c>
      <c r="F13" s="7" t="inlineStr">
        <is>
          <t>進捗率</t>
        </is>
      </c>
      <c r="G13" s="7" t="inlineStr">
        <is>
          <t>ステータス</t>
        </is>
      </c>
    </row>
    <row r="14">
      <c r="B14" s="4" t="inlineStr">
        <is>
          <t>01. タスク登録機能</t>
        </is>
      </c>
      <c r="C14" s="8" t="n">
        <v>4</v>
      </c>
      <c r="D14" s="8" t="n">
        <v>4</v>
      </c>
      <c r="E14" s="8" t="n">
        <v>0</v>
      </c>
      <c r="F14" s="9">
        <f>(C14+D14)/C14</f>
        <v/>
      </c>
      <c r="G14" s="10">
        <f>IF(E14&gt;0, "要修正", "完了")</f>
        <v/>
      </c>
    </row>
    <row r="15">
      <c r="B15" s="4" t="inlineStr">
        <is>
          <t>02. タスク一覧表示機能</t>
        </is>
      </c>
      <c r="C15" s="8" t="n">
        <v>2</v>
      </c>
      <c r="D15" s="8" t="n">
        <v>2</v>
      </c>
      <c r="E15" s="8" t="n">
        <v>0</v>
      </c>
      <c r="F15" s="9">
        <f>(C15+D15)/C15</f>
        <v/>
      </c>
      <c r="G15" s="10">
        <f>IF(E15&gt;0, "要修正", "完了")</f>
        <v/>
      </c>
    </row>
    <row r="16">
      <c r="B16" s="4" t="inlineStr">
        <is>
          <t>03. タスク詳細表示機能</t>
        </is>
      </c>
      <c r="C16" s="8" t="n">
        <v>1</v>
      </c>
      <c r="D16" s="8" t="n">
        <v>0</v>
      </c>
      <c r="E16" s="8" t="n">
        <v>1</v>
      </c>
      <c r="F16" s="9">
        <f>(C16+D16)/C16</f>
        <v/>
      </c>
      <c r="G16" s="10">
        <f>IF(E16&gt;0, "要修正", "完了")</f>
        <v/>
      </c>
    </row>
    <row r="17">
      <c r="B17" s="4" t="inlineStr">
        <is>
          <t>04. タスク編集機能</t>
        </is>
      </c>
      <c r="C17" s="8" t="n">
        <v>2</v>
      </c>
      <c r="D17" s="8" t="n">
        <v>0</v>
      </c>
      <c r="E17" s="8" t="n">
        <v>2</v>
      </c>
      <c r="F17" s="9">
        <f>(C17+D17)/C17</f>
        <v/>
      </c>
      <c r="G17" s="10">
        <f>IF(E17&gt;0, "要修正", "完了")</f>
        <v/>
      </c>
    </row>
    <row r="18">
      <c r="B18" s="4" t="inlineStr">
        <is>
          <t>05. タスク削除機能</t>
        </is>
      </c>
      <c r="C18" s="8" t="n">
        <v>2</v>
      </c>
      <c r="D18" s="8" t="n">
        <v>0</v>
      </c>
      <c r="E18" s="8" t="n">
        <v>2</v>
      </c>
      <c r="F18" s="9">
        <f>(C18+D18)/C18</f>
        <v/>
      </c>
      <c r="G18" s="10">
        <f>IF(E18&gt;0, "要修正", "完了")</f>
        <v/>
      </c>
    </row>
    <row r="19">
      <c r="B19" s="4" t="inlineStr">
        <is>
          <t>06. ステータス管理機能</t>
        </is>
      </c>
      <c r="C19" s="8" t="n">
        <v>2</v>
      </c>
      <c r="D19" s="8" t="n">
        <v>2</v>
      </c>
      <c r="E19" s="8" t="n">
        <v>0</v>
      </c>
      <c r="F19" s="9">
        <f>(C19+D19)/C19</f>
        <v/>
      </c>
      <c r="G19" s="10">
        <f>IF(E19&gt;0, "要修正", "完了")</f>
        <v/>
      </c>
    </row>
    <row r="20">
      <c r="B20" s="4" t="inlineStr">
        <is>
          <t>07. 検索機能</t>
        </is>
      </c>
      <c r="C20" s="8" t="n">
        <v>2</v>
      </c>
      <c r="D20" s="8" t="n">
        <v>2</v>
      </c>
      <c r="E20" s="8" t="n">
        <v>0</v>
      </c>
      <c r="F20" s="9">
        <f>(C20+D20)/C20</f>
        <v/>
      </c>
      <c r="G20" s="10">
        <f>IF(E20&gt;0, "要修正", "完了")</f>
        <v/>
      </c>
    </row>
    <row r="21">
      <c r="B21" s="4" t="inlineStr">
        <is>
          <t>08. フィルタ機能</t>
        </is>
      </c>
      <c r="C21" s="8" t="n">
        <v>2</v>
      </c>
      <c r="D21" s="8" t="n">
        <v>2</v>
      </c>
      <c r="E21" s="8" t="n">
        <v>0</v>
      </c>
      <c r="F21" s="9">
        <f>(C21+D21)/C21</f>
        <v/>
      </c>
      <c r="G21" s="10">
        <f>IF(E21&gt;0, "要修正", "完了")</f>
        <v/>
      </c>
    </row>
    <row r="22">
      <c r="B22" s="4" t="inlineStr">
        <is>
          <t>09. ソート機能</t>
        </is>
      </c>
      <c r="C22" s="8" t="n">
        <v>2</v>
      </c>
      <c r="D22" s="8" t="n">
        <v>2</v>
      </c>
      <c r="E22" s="8" t="n">
        <v>0</v>
      </c>
      <c r="F22" s="9">
        <f>(C22+D22)/C22</f>
        <v/>
      </c>
      <c r="G22" s="10">
        <f>IF(E22&gt;0, "要修正", "完了")</f>
        <v/>
      </c>
    </row>
    <row r="23">
      <c r="B23" s="4" t="inlineStr">
        <is>
          <t>10. 完了管理機能</t>
        </is>
      </c>
      <c r="C23" s="8" t="n">
        <v>1</v>
      </c>
      <c r="D23" s="8" t="n">
        <v>0</v>
      </c>
      <c r="E23" s="8" t="n">
        <v>1</v>
      </c>
      <c r="F23" s="9">
        <f>(C23+D23)/C23</f>
        <v/>
      </c>
      <c r="G23" s="10">
        <f>IF(E23&gt;0, "要修正", "完了")</f>
        <v/>
      </c>
    </row>
    <row r="24">
      <c r="B24" s="4" t="inlineStr">
        <is>
          <t>11. コメント機能</t>
        </is>
      </c>
      <c r="C24" s="8" t="n">
        <v>2</v>
      </c>
      <c r="D24" s="8" t="n">
        <v>0</v>
      </c>
      <c r="E24" s="8" t="n">
        <v>2</v>
      </c>
      <c r="F24" s="9">
        <f>(C24+D24)/C24</f>
        <v/>
      </c>
      <c r="G24" s="10">
        <f>IF(E24&gt;0, "要修正", "完了")</f>
        <v/>
      </c>
    </row>
    <row r="25">
      <c r="B25" s="4" t="inlineStr">
        <is>
          <t>12. ダッシュボード機能</t>
        </is>
      </c>
      <c r="C25" s="8" t="n">
        <v>2</v>
      </c>
      <c r="D25" s="8" t="n">
        <v>2</v>
      </c>
      <c r="E25" s="8" t="n">
        <v>0</v>
      </c>
      <c r="F25" s="9">
        <f>(C25+D25)/C25</f>
        <v/>
      </c>
      <c r="G25" s="10">
        <f>IF(E25&gt;0, "要修正", "完了")</f>
        <v/>
      </c>
    </row>
    <row r="26">
      <c r="B26" s="4" t="inlineStr">
        <is>
          <t>13. データ保持</t>
        </is>
      </c>
      <c r="C26" s="8" t="n">
        <v>1</v>
      </c>
      <c r="D26" s="8" t="n">
        <v>1</v>
      </c>
      <c r="E26" s="8" t="n">
        <v>0</v>
      </c>
      <c r="F26" s="9">
        <f>(C26+D26)/C26</f>
        <v/>
      </c>
      <c r="G26" s="10">
        <f>IF(E26&gt;0, "要修正", "完了")</f>
        <v/>
      </c>
    </row>
    <row r="27">
      <c r="B27" s="3" t="inlineStr">
        <is>
          <t>総合計</t>
        </is>
      </c>
      <c r="C27" s="11">
        <f>SUM(C14:C26)</f>
        <v/>
      </c>
      <c r="D27" s="11">
        <f>SUM(D14:D26)</f>
        <v/>
      </c>
      <c r="E27" s="11">
        <f>SUM(E14:E26)</f>
        <v/>
      </c>
      <c r="F27" s="12">
        <f>(C27+D27)/C27</f>
        <v/>
      </c>
      <c r="G27" s="13">
        <f>IF(E27&gt;0, "未完了(障害あり)", "完了")</f>
        <v/>
      </c>
    </row>
  </sheetData>
  <mergeCells count="5">
    <mergeCell ref="C7:G7"/>
    <mergeCell ref="B2:G3"/>
    <mergeCell ref="C6:G6"/>
    <mergeCell ref="C5:G5"/>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16" customWidth="1" min="1" max="1"/>
    <col width="25" customWidth="1" min="2" max="2"/>
    <col width="45" customWidth="1" min="3" max="3"/>
    <col width="45" customWidth="1" min="4" max="4"/>
    <col width="12" customWidth="1" min="5" max="5"/>
    <col width="12" customWidth="1" min="6" max="6"/>
    <col width="55" customWidth="1" min="7" max="7"/>
  </cols>
  <sheetData>
    <row r="1" ht="28" customHeight="1">
      <c r="A1" s="14" t="inlineStr">
        <is>
          <t>テストケースID</t>
        </is>
      </c>
      <c r="B1" s="14" t="inlineStr">
        <is>
          <t>大項目(機能)</t>
        </is>
      </c>
      <c r="C1" s="14" t="inlineStr">
        <is>
          <t>検証内容・操作手順</t>
        </is>
      </c>
      <c r="D1" s="14" t="inlineStr">
        <is>
          <t>確認すべき期待値</t>
        </is>
      </c>
      <c r="E1" s="14" t="inlineStr">
        <is>
          <t>テスト結果</t>
        </is>
      </c>
      <c r="F1" s="14" t="inlineStr">
        <is>
          <t>ステータス</t>
        </is>
      </c>
      <c r="G1" s="14" t="inlineStr">
        <is>
          <t>検出された障害内容・確認できた現状</t>
        </is>
      </c>
    </row>
    <row r="2" ht="22" customHeight="1">
      <c r="A2" s="15" t="inlineStr">
        <is>
          <t>TC-01-01</t>
        </is>
      </c>
      <c r="B2" s="4" t="inlineStr">
        <is>
          <t>01. タスク登録機能</t>
        </is>
      </c>
      <c r="C2" s="4" t="inlineStr">
        <is>
          <t>必須項目(タスク名、期限日、優先度、担当者、ステータス)を入力し「＋ タスクを登録」ボタンを押下する。</t>
        </is>
      </c>
      <c r="D2" s="4" t="inlineStr">
        <is>
          <t>タスクが正常に登録され、一覧に反映されること。またダッシュボードの数値が更新されること。</t>
        </is>
      </c>
      <c r="E2" s="16" t="inlineStr">
        <is>
          <t>OK</t>
        </is>
      </c>
      <c r="F2" s="16" t="inlineStr">
        <is>
          <t>PASS</t>
        </is>
      </c>
      <c r="G2" s="4" t="inlineStr">
        <is>
          <t>正常に登録され、一覧及びダッシュボードに即座に反映されました。</t>
        </is>
      </c>
    </row>
    <row r="3" ht="22" customHeight="1">
      <c r="A3" s="15" t="inlineStr">
        <is>
          <t>TC-01-02</t>
        </is>
      </c>
      <c r="B3" s="4" t="inlineStr">
        <is>
          <t>01. タスク登録機能</t>
        </is>
      </c>
      <c r="C3" s="4" t="inlineStr">
        <is>
          <t>必須項目を未入力の状態で「＋ タスクを登録」ボタンを押下する。</t>
        </is>
      </c>
      <c r="D3" s="4" t="inlineStr">
        <is>
          <t>「必須項目を入力してください。」等のエラーメッセージが表示され、登録されないこと。</t>
        </is>
      </c>
      <c r="E3" s="16" t="inlineStr">
        <is>
          <t>OK</t>
        </is>
      </c>
      <c r="F3" s="16" t="inlineStr">
        <is>
          <t>PASS</t>
        </is>
      </c>
      <c r="G3" s="4" t="inlineStr">
        <is>
          <t>画面上に「必須項目を入力してください」の文言が表示されており適切。</t>
        </is>
      </c>
    </row>
    <row r="4" ht="22" customHeight="1">
      <c r="A4" s="15" t="inlineStr">
        <is>
          <t>TC-01-03</t>
        </is>
      </c>
      <c r="B4" s="4" t="inlineStr">
        <is>
          <t>01. タスク登録機能</t>
        </is>
      </c>
      <c r="C4" s="4" t="inlineStr">
        <is>
          <t>タスク詳細（任意項目）に入力して登録を行う。</t>
        </is>
      </c>
      <c r="D4" s="4" t="inlineStr">
        <is>
          <t>詳細情報も含めて正常に登録が行えること。</t>
        </is>
      </c>
      <c r="E4" s="16" t="inlineStr">
        <is>
          <t>OK</t>
        </is>
      </c>
      <c r="F4" s="16" t="inlineStr">
        <is>
          <t>PASS</t>
        </is>
      </c>
      <c r="G4" s="4" t="inlineStr">
        <is>
          <t>問題なく登録が実行できることを確認。</t>
        </is>
      </c>
    </row>
    <row r="5" ht="22" customHeight="1">
      <c r="A5" s="15" t="inlineStr">
        <is>
          <t>TC-01-04</t>
        </is>
      </c>
      <c r="B5" s="4" t="inlineStr">
        <is>
          <t>01. タスク登録機能</t>
        </is>
      </c>
      <c r="C5" s="4" t="inlineStr">
        <is>
          <t>優先度（高・中・低）、ステータス（未着手〜完了）の各ラジオボタン・選択肢が全て選択可能であることを確認する。</t>
        </is>
      </c>
      <c r="D5" s="4" t="inlineStr">
        <is>
          <t>全ての選択肢が仕様通りに選べること。</t>
        </is>
      </c>
      <c r="E5" s="16" t="inlineStr">
        <is>
          <t>OK</t>
        </is>
      </c>
      <c r="F5" s="16" t="inlineStr">
        <is>
          <t>PASS</t>
        </is>
      </c>
      <c r="G5" s="4" t="inlineStr">
        <is>
          <t>UI上の選択肢は全て正常に機能。</t>
        </is>
      </c>
    </row>
    <row r="6" ht="22" customHeight="1">
      <c r="A6" s="15" t="inlineStr">
        <is>
          <t>TC-02-01</t>
        </is>
      </c>
      <c r="B6" s="4" t="inlineStr">
        <is>
          <t>02. タスク一覧表示機能</t>
        </is>
      </c>
      <c r="C6" s="4" t="inlineStr">
        <is>
          <t>登録されたタスクが一覧にリスト形式で表示されることを確認する。</t>
        </is>
      </c>
      <c r="D6" s="4" t="inlineStr">
        <is>
          <t>タスク名、担当者、優先度、ステータス、期限日、作成日が表示されていること。</t>
        </is>
      </c>
      <c r="E6" s="16" t="inlineStr">
        <is>
          <t>OK</t>
        </is>
      </c>
      <c r="F6" s="16" t="inlineStr">
        <is>
          <t>PASS</t>
        </is>
      </c>
      <c r="G6" s="4" t="inlineStr">
        <is>
          <t>検証時点で「TEST テスト」「WindowsPC買わせる」の2件が綺麗にテーブル表示されている。</t>
        </is>
      </c>
    </row>
    <row r="7" ht="22" customHeight="1">
      <c r="A7" s="15" t="inlineStr">
        <is>
          <t>TC-02-02</t>
        </is>
      </c>
      <c r="B7" s="4" t="inlineStr">
        <is>
          <t>02. タスク一覧表示機能</t>
        </is>
      </c>
      <c r="C7" s="4" t="inlineStr">
        <is>
          <t>一覧上に「作成日」が仕様通りに表示されているか確認する。</t>
        </is>
      </c>
      <c r="D7" s="4" t="inlineStr">
        <is>
          <t>要件に定められた「作成日」が表示されていること。</t>
        </is>
      </c>
      <c r="E7" s="16" t="inlineStr">
        <is>
          <t>OK</t>
        </is>
      </c>
      <c r="F7" s="16" t="inlineStr">
        <is>
          <t>PASS</t>
        </is>
      </c>
      <c r="G7" s="4" t="inlineStr">
        <is>
          <t>「2026-10-02」等の形式で正常に出力されている。</t>
        </is>
      </c>
    </row>
    <row r="8" ht="22" customHeight="1">
      <c r="A8" s="15" t="inlineStr">
        <is>
          <t>TC-03-01</t>
        </is>
      </c>
      <c r="B8" s="4" t="inlineStr">
        <is>
          <t>03. タスク詳細表示機能</t>
        </is>
      </c>
      <c r="C8" s="4" t="inlineStr">
        <is>
          <t>一覧のタスクを選択、または詳細ボタン等を押下して詳細画面に遷移・展開する。</t>
        </is>
      </c>
      <c r="D8" s="4" t="inlineStr">
        <is>
          <t>タスク名、詳細、担当者、優先度、ステータス、作成日、更新日、期限日が表示されること。</t>
        </is>
      </c>
      <c r="E8" s="17" t="inlineStr">
        <is>
          <t>NG</t>
        </is>
      </c>
      <c r="F8" s="18" t="inlineStr">
        <is>
          <t>FAIL</t>
        </is>
      </c>
      <c r="G8" s="4" t="inlineStr">
        <is>
          <t>【障害】一覧のタスク名等をクリックしても、詳細画面を展開する動線（リンクやボタン）が一切存在しないため確認不可。</t>
        </is>
      </c>
    </row>
    <row r="9" ht="22" customHeight="1">
      <c r="A9" s="15" t="inlineStr">
        <is>
          <t>TC-04-01</t>
        </is>
      </c>
      <c r="B9" s="4" t="inlineStr">
        <is>
          <t>04. タスク編集機能</t>
        </is>
      </c>
      <c r="C9" s="4" t="inlineStr">
        <is>
          <t>登録済みタスクの編集画面を開き、各項目を書き換えて保存する。</t>
        </is>
      </c>
      <c r="D9" s="4" t="inlineStr">
        <is>
          <t>編集内容が正常に保存され、一覧や詳細に反映されること。</t>
        </is>
      </c>
      <c r="E9" s="17" t="inlineStr">
        <is>
          <t>NG</t>
        </is>
      </c>
      <c r="F9" s="18" t="inlineStr">
        <is>
          <t>FAIL</t>
        </is>
      </c>
      <c r="G9" s="4" t="inlineStr">
        <is>
          <t>【障害】画面上にタスクを「編集」するためのボタンやフォームが存在しない。</t>
        </is>
      </c>
    </row>
    <row r="10" ht="22" customHeight="1">
      <c r="A10" s="15" t="inlineStr">
        <is>
          <t>TC-04-02</t>
        </is>
      </c>
      <c r="B10" s="4" t="inlineStr">
        <is>
          <t>04. タスク編集機能</t>
        </is>
      </c>
      <c r="C10" s="4" t="inlineStr">
        <is>
          <t>ステータスや期限日の編集を行う。</t>
        </is>
      </c>
      <c r="D10" s="4" t="inlineStr">
        <is>
          <t>変更内容が連動してダッシュボード等にも反映されること。</t>
        </is>
      </c>
      <c r="E10" s="17" t="inlineStr">
        <is>
          <t>NG</t>
        </is>
      </c>
      <c r="F10" s="18" t="inlineStr">
        <is>
          <t>FAIL</t>
        </is>
      </c>
      <c r="G10" s="4" t="inlineStr">
        <is>
          <t>【障害】編集機能自体が画面に実装されていないためテスト不可。</t>
        </is>
      </c>
    </row>
    <row r="11" ht="22" customHeight="1">
      <c r="A11" s="15" t="inlineStr">
        <is>
          <t>TC-05-01</t>
        </is>
      </c>
      <c r="B11" s="4" t="inlineStr">
        <is>
          <t>05. タスク削除機能</t>
        </is>
      </c>
      <c r="C11" s="4" t="inlineStr">
        <is>
          <t>タスクの削除ボタンを押下する。</t>
        </is>
      </c>
      <c r="D11" s="4" t="inlineStr">
        <is>
          <t>「削除確認ダイアログ」が表示され、キャンセルした場合は削除されないこと。</t>
        </is>
      </c>
      <c r="E11" s="17" t="inlineStr">
        <is>
          <t>NG</t>
        </is>
      </c>
      <c r="F11" s="18" t="inlineStr">
        <is>
          <t>FAIL</t>
        </is>
      </c>
      <c r="G11" s="4" t="inlineStr">
        <is>
          <t>【障害】画面上にタスクを「削除」するためのUI（ボタン・アイコン等）が実装されていない。</t>
        </is>
      </c>
    </row>
    <row r="12" ht="22" customHeight="1">
      <c r="A12" s="15" t="inlineStr">
        <is>
          <t>TC-05-02</t>
        </is>
      </c>
      <c r="B12" s="4" t="inlineStr">
        <is>
          <t>05. タスク削除機能</t>
        </is>
      </c>
      <c r="C12" s="4" t="inlineStr">
        <is>
          <t>削除確認ダイアログで「OK」を押下する。</t>
        </is>
      </c>
      <c r="D12" s="4" t="inlineStr">
        <is>
          <t>タスクが一覧から完全に除外され、データが削除されること。</t>
        </is>
      </c>
      <c r="E12" s="17" t="inlineStr">
        <is>
          <t>NG</t>
        </is>
      </c>
      <c r="F12" s="18" t="inlineStr">
        <is>
          <t>FAIL</t>
        </is>
      </c>
      <c r="G12" s="4" t="inlineStr">
        <is>
          <t>【障害】削除機能そのものが未実装のためテスト不可。</t>
        </is>
      </c>
    </row>
    <row r="13" ht="22" customHeight="1">
      <c r="A13" s="15" t="inlineStr">
        <is>
          <t>TC-06-01</t>
        </is>
      </c>
      <c r="B13" s="4" t="inlineStr">
        <is>
          <t>06. ステータス管理機能</t>
        </is>
      </c>
      <c r="C13" s="4" t="inlineStr">
        <is>
          <t>ステータスに「未着手」「進行中」「保留」「完了」の4区分が存在することを確認する。</t>
        </is>
      </c>
      <c r="D13" s="4" t="inlineStr">
        <is>
          <t>登録・検索フォーム等で4つの区分が正しく選べること。</t>
        </is>
      </c>
      <c r="E13" s="16" t="inlineStr">
        <is>
          <t>OK</t>
        </is>
      </c>
      <c r="F13" s="16" t="inlineStr">
        <is>
          <t>PASS</t>
        </is>
      </c>
      <c r="G13" s="4" t="inlineStr">
        <is>
          <t>登録フォームのステータス欄に4項目全てが存在することを確認。</t>
        </is>
      </c>
    </row>
    <row r="14" ht="22" customHeight="1">
      <c r="A14" s="15" t="inlineStr">
        <is>
          <t>TC-06-02</t>
        </is>
      </c>
      <c r="B14" s="4" t="inlineStr">
        <is>
          <t>06. ステータス管理機能</t>
        </is>
      </c>
      <c r="C14" s="4" t="inlineStr">
        <is>
          <t>現在登録されているタスクのステータスが、一覧上で正しく出し分けられているか確認する。</t>
        </is>
      </c>
      <c r="D14" s="4" t="inlineStr">
        <is>
          <t>「保留」や「完了」が仕様通りに表示されていること。</t>
        </is>
      </c>
      <c r="E14" s="16" t="inlineStr">
        <is>
          <t>OK</t>
        </is>
      </c>
      <c r="F14" s="16" t="inlineStr">
        <is>
          <t>PASS</t>
        </is>
      </c>
      <c r="G14" s="4" t="inlineStr">
        <is>
          <t>「TEST テスト」＝保留、「WindowsPC買わせる」＝完了と正しく表示されている。</t>
        </is>
      </c>
    </row>
    <row r="15" ht="22" customHeight="1">
      <c r="A15" s="15" t="inlineStr">
        <is>
          <t>TC-07-01</t>
        </is>
      </c>
      <c r="B15" s="4" t="inlineStr">
        <is>
          <t>07. 検索機能</t>
        </is>
      </c>
      <c r="C15" s="4" t="inlineStr">
        <is>
          <t>「タスク名」「担当者」を入力、または「ステータス」「優先度」を選択して「検索」ボタンを押下する。</t>
        </is>
      </c>
      <c r="D15" s="4" t="inlineStr">
        <is>
          <t>条件に合致するタスクのみが一覧に絞り込まれて表示されること。</t>
        </is>
      </c>
      <c r="E15" s="16" t="inlineStr">
        <is>
          <t>OK</t>
        </is>
      </c>
      <c r="F15" s="16" t="inlineStr">
        <is>
          <t>PASS</t>
        </is>
      </c>
      <c r="G15" s="4" t="inlineStr">
        <is>
          <t>フォーム入力後の「検索」ボタン押下により、条件通りの絞り込みが正常に動作。</t>
        </is>
      </c>
    </row>
    <row r="16" ht="22" customHeight="1">
      <c r="A16" s="15" t="inlineStr">
        <is>
          <t>TC-07-02</t>
        </is>
      </c>
      <c r="B16" s="4" t="inlineStr">
        <is>
          <t>07. 検索機能</t>
        </is>
      </c>
      <c r="C16" s="4" t="inlineStr">
        <is>
          <t>「解除」ボタンを押下する。</t>
        </is>
      </c>
      <c r="D16" s="4" t="inlineStr">
        <is>
          <t>検索条件がクリアされ、全タスクが再表示されること。</t>
        </is>
      </c>
      <c r="E16" s="16" t="inlineStr">
        <is>
          <t>OK</t>
        </is>
      </c>
      <c r="F16" s="16" t="inlineStr">
        <is>
          <t>PASS</t>
        </is>
      </c>
      <c r="G16" s="4" t="inlineStr">
        <is>
          <t>「解除」ボタンにより即座に全件表示に戻ることを確認。</t>
        </is>
      </c>
    </row>
    <row r="17" ht="22" customHeight="1">
      <c r="A17" s="15" t="inlineStr">
        <is>
          <t>TC-08-01</t>
        </is>
      </c>
      <c r="B17" s="4" t="inlineStr">
        <is>
          <t>08. フィルタ機能</t>
        </is>
      </c>
      <c r="C17" s="4" t="inlineStr">
        <is>
          <t>ステータス、優先度、期限日、担当者による複合的なフィルタリングを試みる。</t>
        </is>
      </c>
      <c r="D17" s="4" t="inlineStr">
        <is>
          <t>指定したフィルタ条件（すべて/各区分/期限日の範囲）通りに一覧が制御されること。</t>
        </is>
      </c>
      <c r="E17" s="16" t="inlineStr">
        <is>
          <t>OK</t>
        </is>
      </c>
      <c r="F17" s="16" t="inlineStr">
        <is>
          <t>PASS</t>
        </is>
      </c>
      <c r="G17" s="4" t="inlineStr">
        <is>
          <t>検索機能と一体化する形で、ステータス・優先度・期限日(期間)・担当者でのフィルタが可能。</t>
        </is>
      </c>
    </row>
    <row r="18" ht="22" customHeight="1">
      <c r="A18" s="15" t="inlineStr">
        <is>
          <t>TC-08-02</t>
        </is>
      </c>
      <c r="B18" s="4" t="inlineStr">
        <is>
          <t>08. フィルタ機能</t>
        </is>
      </c>
      <c r="C18" s="4" t="inlineStr">
        <is>
          <t>期限日の「〜」フォームを用いた範囲指定フィルタをテストする。</t>
        </is>
      </c>
      <c r="D18" s="4" t="inlineStr">
        <is>
          <t>開始日〜終了日の範囲内にあるタスクのみが表示されること。</t>
        </is>
      </c>
      <c r="E18" s="16" t="inlineStr">
        <is>
          <t>OK</t>
        </is>
      </c>
      <c r="F18" s="16" t="inlineStr">
        <is>
          <t>PASS</t>
        </is>
      </c>
      <c r="G18" s="4" t="inlineStr">
        <is>
          <t>期限日の範囲指定が正常に動作することを確認。</t>
        </is>
      </c>
    </row>
    <row r="19" ht="22" customHeight="1">
      <c r="A19" s="15" t="inlineStr">
        <is>
          <t>TC-09-01</t>
        </is>
      </c>
      <c r="B19" s="4" t="inlineStr">
        <is>
          <t>09. ソート機能</t>
        </is>
      </c>
      <c r="C19" s="4" t="inlineStr">
        <is>
          <t>並び替えドロップダウンから「作成日」「更新日」「期限日」「優先度」を選択し、昇順/降順を切り替えて「検索」を実行する。</t>
        </is>
      </c>
      <c r="D19" s="4" t="inlineStr">
        <is>
          <t>指定したソート条件に従って、一覧の並び順が正しく変更されること。</t>
        </is>
      </c>
      <c r="E19" s="16" t="inlineStr">
        <is>
          <t>OK</t>
        </is>
      </c>
      <c r="F19" s="16" t="inlineStr">
        <is>
          <t>PASS</t>
        </is>
      </c>
      <c r="G19" s="4" t="inlineStr">
        <is>
          <t>作成日、更新日、期限日、優先度の昇順・降順の切り替え並び替えが正常に機能。</t>
        </is>
      </c>
    </row>
    <row r="20" ht="22" customHeight="1">
      <c r="A20" s="15" t="inlineStr">
        <is>
          <t>TC-09-02</t>
        </is>
      </c>
      <c r="B20" s="4" t="inlineStr">
        <is>
          <t>09. ソート機能</t>
        </is>
      </c>
      <c r="C20" s="4" t="inlineStr">
        <is>
          <t>優先度のソート（高・中・低）が意図した優先順位で並び替わるか検証する。</t>
        </is>
      </c>
      <c r="D20" s="4" t="inlineStr">
        <is>
          <t>優先度の高低に基づいた並び順になること。</t>
        </is>
      </c>
      <c r="E20" s="16" t="inlineStr">
        <is>
          <t>OK</t>
        </is>
      </c>
      <c r="F20" s="16" t="inlineStr">
        <is>
          <t>PASS</t>
        </is>
      </c>
      <c r="G20" s="4" t="inlineStr">
        <is>
          <t>内部ロジック通りに並び替えが行われることを確認。</t>
        </is>
      </c>
    </row>
    <row r="21" ht="22" customHeight="1">
      <c r="A21" s="15" t="inlineStr">
        <is>
          <t>TC-10-01</t>
        </is>
      </c>
      <c r="B21" s="4" t="inlineStr">
        <is>
          <t>10. 完了管理機能</t>
        </is>
      </c>
      <c r="C21" s="4" t="inlineStr">
        <is>
          <t>タスクを「完了」にした際、完了日時・更新日時がシステム内部、または詳細画面等に自動記録されるか検証する。</t>
        </is>
      </c>
      <c r="D21" s="4" t="inlineStr">
        <is>
          <t>タスク完了時に「完了日時」「更新日時」が仕様通り正しく記録されること。</t>
        </is>
      </c>
      <c r="E21" s="17" t="inlineStr">
        <is>
          <t>NG</t>
        </is>
      </c>
      <c r="F21" s="18" t="inlineStr">
        <is>
          <t>FAIL</t>
        </is>
      </c>
      <c r="G21" s="4" t="inlineStr">
        <is>
          <t>【障害】詳細画面が無く、一覧にも完了日時の表示枠がないため、完了日時が保持・記録されているか確認不可。</t>
        </is>
      </c>
    </row>
    <row r="22" ht="22" customHeight="1">
      <c r="A22" s="15" t="inlineStr">
        <is>
          <t>TC-11-01</t>
        </is>
      </c>
      <c r="B22" s="4" t="inlineStr">
        <is>
          <t>11. コメント機能</t>
        </is>
      </c>
      <c r="C22" s="4" t="inlineStr">
        <is>
          <t>タスクごとにコメントや作業メモを登録・閲覧するUIを確認する。</t>
        </is>
      </c>
      <c r="D22" s="4" t="inlineStr">
        <is>
          <t>タスク詳細画面等からコメントを入力・送信し、履歴として保持・表示できること。</t>
        </is>
      </c>
      <c r="E22" s="17" t="inlineStr">
        <is>
          <t>NG</t>
        </is>
      </c>
      <c r="F22" s="18" t="inlineStr">
        <is>
          <t>FAIL</t>
        </is>
      </c>
      <c r="G22" s="4" t="inlineStr">
        <is>
          <t>【障害】画面最下部に「AI上司コメント」という自動生成らしきボタンはあるが、ユーザーが自由に入力して残す「コメント・作業メモ登録機能」のUIが存在しない。</t>
        </is>
      </c>
    </row>
    <row r="23" ht="22" customHeight="1">
      <c r="A23" s="15" t="inlineStr">
        <is>
          <t>TC-11-02</t>
        </is>
      </c>
      <c r="B23" s="4" t="inlineStr">
        <is>
          <t>11. コメント機能</t>
        </is>
      </c>
      <c r="C23" s="4" t="inlineStr">
        <is>
          <t>利用例（作業報告、引継ぎ、課題、備忘録）として複数コメントを投稿する。</t>
        </is>
      </c>
      <c r="D23" s="4" t="inlineStr">
        <is>
          <t>複数コメントがスレッドやリスト形式で蓄積されること。</t>
        </is>
      </c>
      <c r="E23" s="17" t="inlineStr">
        <is>
          <t>NG</t>
        </is>
      </c>
      <c r="F23" s="18" t="inlineStr">
        <is>
          <t>FAIL</t>
        </is>
      </c>
      <c r="G23" s="4" t="inlineStr">
        <is>
          <t>【障害】手動のコメント入力・保持機能自体が未実装のためテスト不可。</t>
        </is>
      </c>
    </row>
    <row r="24" ht="22" customHeight="1">
      <c r="A24" s="15" t="inlineStr">
        <is>
          <t>TC-12-01</t>
        </is>
      </c>
      <c r="B24" s="4" t="inlineStr">
        <is>
          <t>12. ダッシュボード機能</t>
        </is>
      </c>
      <c r="C24" s="4" t="inlineStr">
        <is>
          <t>画面上部の「総タスク数」「未着手」「進行中」「完了」「保留」の集計値を確認する。</t>
        </is>
      </c>
      <c r="D24" s="4" t="inlineStr">
        <is>
          <t>現在登録されているタスクの実際のステータス状況と、ダッシュボードの集計値が完全に一致すること。</t>
        </is>
      </c>
      <c r="E24" s="16" t="inlineStr">
        <is>
          <t>OK</t>
        </is>
      </c>
      <c r="F24" s="16" t="inlineStr">
        <is>
          <t>PASS</t>
        </is>
      </c>
      <c r="G24" s="4" t="inlineStr">
        <is>
          <t>現在「完了1件、保留1件、総数2件」の状態に対し、ダッシュボードが「総数2, 完了1, 保留1, 未着手0, 進行中0」と完璧に一致。</t>
        </is>
      </c>
    </row>
    <row r="25" ht="22" customHeight="1">
      <c r="A25" s="15" t="inlineStr">
        <is>
          <t>TC-12-02</t>
        </is>
      </c>
      <c r="B25" s="4" t="inlineStr">
        <is>
          <t>12. ダッシュボード機能</t>
        </is>
      </c>
      <c r="C25" s="4" t="inlineStr">
        <is>
          <t>新しくタスクを追加（例：進行中）した際に、上部の数値がリアルタイムまたはリロードで連動するか検証する。</t>
        </is>
      </c>
      <c r="D25" s="4" t="inlineStr">
        <is>
          <t>タスクの増減・ステータス変更に合わせて集計値が正確にカウントアップ/ダウンすること。</t>
        </is>
      </c>
      <c r="E25" s="16" t="inlineStr">
        <is>
          <t>OK</t>
        </is>
      </c>
      <c r="F25" s="16" t="inlineStr">
        <is>
          <t>PASS</t>
        </is>
      </c>
      <c r="G25" s="4" t="inlineStr">
        <is>
          <t>タスク追加に伴い数値が正しく加算されることを確認。</t>
        </is>
      </c>
    </row>
    <row r="26" ht="22" customHeight="1">
      <c r="A26" s="15" t="inlineStr">
        <is>
          <t>TC-13-01</t>
        </is>
      </c>
      <c r="B26" s="4" t="inlineStr">
        <is>
          <t>13. データ保持</t>
        </is>
      </c>
      <c r="C26" s="4" t="inlineStr">
        <is>
          <t>ブラウザをリロード（F5押下）、または再アクセスを行う。</t>
        </is>
      </c>
      <c r="D26" s="4" t="inlineStr">
        <is>
          <t>登録したタスクデータやダッシュボードの集計値が消えずに永続的に保持されていること。</t>
        </is>
      </c>
      <c r="E26" s="16" t="inlineStr">
        <is>
          <t>OK</t>
        </is>
      </c>
      <c r="F26" s="16" t="inlineStr">
        <is>
          <t>PASS</t>
        </is>
      </c>
      <c r="G26" s="4" t="inlineStr">
        <is>
          <t>リロード後もデータが消去されず、永続化されていることを確認。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2026-10-09T09:49:38Z</dcterms:created>
  <dcterms:modified xmlns:dcterms="http://purl.org/dc/terms/" xmlns:xsi="http://www.w3.org/2001/XMLSchema-instance" xsi:type="dcterms:W3CDTF">2026-10-09T09:49:38Z</dcterms:modified>
</cp:coreProperties>
</file>